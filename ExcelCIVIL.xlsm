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ANMO_Build\8-CIVIL EXCEL\"/>
    </mc:Choice>
  </mc:AlternateContent>
  <xr:revisionPtr revIDLastSave="0" documentId="13_ncr:1_{936F5A72-28D1-4C44-8FD7-8C1903B5949B}" xr6:coauthVersionLast="47" xr6:coauthVersionMax="47" xr10:uidLastSave="{00000000-0000-0000-0000-000000000000}"/>
  <bookViews>
    <workbookView xWindow="2304" yWindow="2304" windowWidth="30960" windowHeight="12120" activeTab="2" xr2:uid="{6D85F9D1-A524-43B5-8F7D-3FD70E71D58F}"/>
  </bookViews>
  <sheets>
    <sheet name="Couleur" sheetId="3" r:id="rId1"/>
    <sheet name="Tableau" sheetId="2" r:id="rId2"/>
    <sheet name="Feuil1" sheetId="4" r:id="rId3"/>
    <sheet name="Feuil3" sheetId="6" r:id="rId4"/>
    <sheet name="Feuil2" sheetId="5" r:id="rId5"/>
  </sheets>
  <definedNames>
    <definedName name="Mercuriale_BTP_2022_Ouagadougou">#REF!</definedName>
    <definedName name="Mercuriale_BTP_2025_Ouagadougou">#REF!</definedName>
    <definedName name="PRIX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6" l="1"/>
  <c r="F7" i="6"/>
  <c r="F5" i="5"/>
  <c r="F4" i="6"/>
  <c r="F3" i="6"/>
  <c r="F2" i="6"/>
  <c r="F5" i="6" s="1"/>
  <c r="F4" i="5"/>
  <c r="F3" i="5"/>
  <c r="F2" i="5"/>
  <c r="F9" i="4"/>
  <c r="F8" i="4"/>
  <c r="B8" i="4"/>
  <c r="F7" i="4"/>
  <c r="B7" i="4"/>
  <c r="F5" i="2"/>
  <c r="B33" i="2"/>
  <c r="B32" i="2"/>
  <c r="B31" i="2"/>
  <c r="B30" i="2"/>
  <c r="F26" i="2" l="1"/>
  <c r="F27" i="2" s="1"/>
  <c r="F33" i="2" s="1"/>
  <c r="F23" i="2" l="1"/>
  <c r="F22" i="2"/>
  <c r="F21" i="2"/>
  <c r="F20" i="2"/>
  <c r="F17" i="2"/>
  <c r="F16" i="2"/>
  <c r="F15" i="2"/>
  <c r="F14" i="2"/>
  <c r="F13" i="2"/>
  <c r="F12" i="2"/>
  <c r="F11" i="2"/>
  <c r="F8" i="2"/>
  <c r="F3" i="2"/>
  <c r="F24" i="2" l="1"/>
  <c r="F32" i="2" s="1"/>
  <c r="F18" i="2"/>
  <c r="F31" i="2" s="1"/>
  <c r="F7" i="2"/>
  <c r="F4" i="2"/>
  <c r="F6" i="2"/>
  <c r="F9" i="2" l="1"/>
  <c r="F30" i="2" s="1"/>
  <c r="F34" i="2" s="1"/>
  <c r="F11" i="6"/>
</calcChain>
</file>

<file path=xl/sharedStrings.xml><?xml version="1.0" encoding="utf-8"?>
<sst xmlns="http://schemas.openxmlformats.org/spreadsheetml/2006/main" count="124" uniqueCount="71">
  <si>
    <t>TERRASSEMENT</t>
  </si>
  <si>
    <t>INFRASTRUCTURE</t>
  </si>
  <si>
    <t>MENUISERIE</t>
  </si>
  <si>
    <t>PLOMBERIE</t>
  </si>
  <si>
    <t>N°</t>
  </si>
  <si>
    <t>DESIGNATION DES OUVRAGES</t>
  </si>
  <si>
    <t>U.</t>
  </si>
  <si>
    <t>QTE</t>
  </si>
  <si>
    <t>P.U.</t>
  </si>
  <si>
    <t>P.T.</t>
  </si>
  <si>
    <t>couleur entete</t>
  </si>
  <si>
    <t>I</t>
  </si>
  <si>
    <t>ligne simple</t>
  </si>
  <si>
    <t>Implantation de l'ouvrage</t>
  </si>
  <si>
    <t>Forfait</t>
  </si>
  <si>
    <t>Fouille en rigole pour semelles filantes</t>
  </si>
  <si>
    <t>m³</t>
  </si>
  <si>
    <t>Fouille en puits  pour semelles isolées</t>
  </si>
  <si>
    <t>1.1</t>
  </si>
  <si>
    <t>1.2</t>
  </si>
  <si>
    <t>Remblai sans apport latéritique compacté à 95% de l'optimum proctor modifié</t>
  </si>
  <si>
    <t>Remblai d'apport latéritique compacté à 95% de l'optimum proctor modifié</t>
  </si>
  <si>
    <t>1.4</t>
  </si>
  <si>
    <t>1.3</t>
  </si>
  <si>
    <t>1.5</t>
  </si>
  <si>
    <t>Total</t>
  </si>
  <si>
    <t>TOTAL</t>
  </si>
  <si>
    <t xml:space="preserve"> </t>
  </si>
  <si>
    <t>TOTAL I</t>
  </si>
  <si>
    <t>II</t>
  </si>
  <si>
    <t>Fourniture et pose film polyane sous dallage ép. 200 microns</t>
  </si>
  <si>
    <t>m²</t>
  </si>
  <si>
    <t>1.6</t>
  </si>
  <si>
    <t>Béton de propreté dosé à 150 kg/m³</t>
  </si>
  <si>
    <t>2.1</t>
  </si>
  <si>
    <t>Béton armé dosé à 350 kg/m³ pour amorces de poteaux</t>
  </si>
  <si>
    <t>2.2</t>
  </si>
  <si>
    <t>Béton armé dosé à 350 kg/m³  pour poutres</t>
  </si>
  <si>
    <t>2.3</t>
  </si>
  <si>
    <t>Plancher en hourdis corps creux de 16+4</t>
  </si>
  <si>
    <t>2.4</t>
  </si>
  <si>
    <t>Fosse septique 4 usagers (fosse + drain + puisard)</t>
  </si>
  <si>
    <t>Unité</t>
  </si>
  <si>
    <t>2.5</t>
  </si>
  <si>
    <t>Béton légèrement armé pour dallage dosé à 300 kg/m³ et socles d'épaisseur 10 cm y compris chape incorporée et bouchardée</t>
  </si>
  <si>
    <t>2.6</t>
  </si>
  <si>
    <t>Maçonnerie en agglos pleins de 20x20x40 cm</t>
  </si>
  <si>
    <t>2.7</t>
  </si>
  <si>
    <t>TOTAL II</t>
  </si>
  <si>
    <t>III</t>
  </si>
  <si>
    <t>Fourniture et pose de fenêtre  alu vitré coulissante  de 120x120 y compris grille de protection</t>
  </si>
  <si>
    <t>3.1</t>
  </si>
  <si>
    <t>Fourniture et pose de fenêtre alu vitré coulissante de 100 x 60  y compris grille de protection</t>
  </si>
  <si>
    <t>3.2</t>
  </si>
  <si>
    <t>Fourniture et pose de porte  métallique vitrée de 90x220 y compris cadre métallique H70</t>
  </si>
  <si>
    <t>3.3</t>
  </si>
  <si>
    <t>Fourniture et pose de porte isoplane en contreplaqué de 5mm 80x220 y compris cadre métallique H70</t>
  </si>
  <si>
    <t>3.4</t>
  </si>
  <si>
    <t>TOTAL III</t>
  </si>
  <si>
    <t>IV</t>
  </si>
  <si>
    <t>Tuyauteries d'évacuation type PVC, y compris  accessoires de pose et de raccordement (Ø63)</t>
  </si>
  <si>
    <t>ml</t>
  </si>
  <si>
    <t>4.1</t>
  </si>
  <si>
    <t>RECAPITULATIF</t>
  </si>
  <si>
    <t>TOTAL GENERAL</t>
  </si>
  <si>
    <t>TOTAL IV</t>
  </si>
  <si>
    <t>implan</t>
  </si>
  <si>
    <t>Implantation de l'ouvrage à l'aide d'un appareil topo</t>
  </si>
  <si>
    <t>fouille</t>
  </si>
  <si>
    <t>Fouille en puits  pour semelles isol\u00e9es</t>
  </si>
  <si>
    <t>m\u00b3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</si>
</sst>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1" xfId="0" applyFont="1" applyFill="1" applyBorder="1"/>
    <xf numFmtId="0" fontId="0" fillId="2" borderId="1" xfId="0" applyFill="1" applyBorder="1"/>
    <xf numFmtId="0" fontId="0" fillId="3" borderId="2" xfId="0" applyFill="1" applyBorder="1"/>
    <xf numFmtId="0" fontId="0" fillId="0" borderId="1" xfId="0" applyBorder="1"/>
    <xf numFmtId="0" fontId="0" fillId="4" borderId="2" xfId="0" applyFill="1" applyBorder="1"/>
    <xf numFmtId="49" fontId="0" fillId="3" borderId="2" xfId="0" applyNumberFormat="1" applyFill="1" applyBorder="1" applyAlignment="1">
      <alignment horizontal="center" vertical="center"/>
    </xf>
    <xf numFmtId="0" fontId="0" fillId="4" borderId="2" xfId="0" applyFill="1" applyBorder="1" applyAlignment="1">
      <alignment wrapText="1"/>
    </xf>
    <xf numFmtId="0" fontId="0" fillId="2" borderId="2" xfId="0" applyFill="1" applyBorder="1"/>
    <xf numFmtId="0" fontId="0" fillId="4" borderId="2" xfId="0" applyFill="1" applyBorder="1" applyAlignment="1">
      <alignment horizontal="left" vertical="center"/>
    </xf>
    <xf numFmtId="0" fontId="1" fillId="0" borderId="1" xfId="0" applyFont="1" applyBorder="1"/>
    <xf numFmtId="49" fontId="0" fillId="3" borderId="3" xfId="0" applyNumberFormat="1" applyFill="1" applyBorder="1" applyAlignment="1">
      <alignment horizontal="center" vertical="center"/>
    </xf>
    <xf numFmtId="0" fontId="0" fillId="4" borderId="3" xfId="0" applyFill="1" applyBorder="1" applyAlignment="1">
      <alignment wrapText="1"/>
    </xf>
    <xf numFmtId="0" fontId="0" fillId="4" borderId="3" xfId="0" applyFill="1" applyBorder="1"/>
    <xf numFmtId="0" fontId="0" fillId="4" borderId="2" xfId="0" applyFill="1" applyBorder="1" applyAlignment="1">
      <alignment horizontal="center" vertical="center"/>
    </xf>
    <xf numFmtId="0" fontId="3" fillId="0" borderId="1" xfId="0" applyFont="1" applyBorder="1"/>
    <xf numFmtId="0" fontId="0" fillId="4" borderId="4" xfId="0" applyFill="1" applyBorder="1"/>
    <xf numFmtId="0" fontId="0" fillId="0" borderId="1" xfId="0" applyBorder="1"/>
    <xf numFmtId="0" fontId="3" fillId="0" borderId="1" xfId="0" applyFont="1" applyBorder="1"/>
    <xf numFmtId="0" fontId="0" fillId="4" borderId="2" xfId="0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0" fillId="3" borderId="2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/>
    <xf numFmtId="0" fontId="3" fillId="0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AFDA6F-C6DF-40D6-9D5B-04521C64DAA8}">
  <sheetPr codeName="Feuil2"/>
  <dimension ref="A1:B8"/>
  <sheetViews>
    <sheetView workbookViewId="0">
      <selection activeCell="B9" sqref="B9"/>
    </sheetView>
  </sheetViews>
  <sheetFormatPr baseColWidth="10" defaultRowHeight="14.4" x14ac:dyDescent="0.3"/>
  <cols>
    <col min="1" max="1" width="14.33203125" customWidth="1"/>
  </cols>
  <sheetData>
    <row r="1" spans="1:2" x14ac:dyDescent="0.3">
      <c r="A1" t="s">
        <v>10</v>
      </c>
      <c r="B1" s="2"/>
    </row>
    <row r="3" spans="1:2" x14ac:dyDescent="0.3">
      <c r="A3" t="s">
        <v>12</v>
      </c>
      <c r="B3" s="4"/>
    </row>
    <row r="5" spans="1:2" x14ac:dyDescent="0.3">
      <c r="A5" t="s">
        <v>25</v>
      </c>
      <c r="B5" s="10" t="s">
        <v>26</v>
      </c>
    </row>
    <row r="8" spans="1:2" x14ac:dyDescent="0.3">
      <c r="B8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94453-3C69-4106-8C9B-031EE8E4B5D4}">
  <sheetPr codeName="Feuil3"/>
  <dimension ref="A1:F34"/>
  <sheetViews>
    <sheetView workbookViewId="0">
      <selection activeCell="B12" sqref="B12"/>
    </sheetView>
  </sheetViews>
  <sheetFormatPr baseColWidth="10" defaultRowHeight="14.4" x14ac:dyDescent="0.3"/>
  <cols>
    <col min="1" max="1" width="7" customWidth="1"/>
    <col min="2" max="2" width="52" customWidth="1"/>
    <col min="3" max="3" width="10.44140625" customWidth="1"/>
  </cols>
  <sheetData>
    <row r="1" spans="1:6" ht="16.95" customHeight="1" x14ac:dyDescent="0.3">
      <c r="A1" s="1" t="s">
        <v>4</v>
      </c>
      <c r="B1" s="1" t="s">
        <v>5</v>
      </c>
      <c r="C1" s="1" t="s">
        <v>6</v>
      </c>
      <c r="D1" s="1" t="s">
        <v>7</v>
      </c>
      <c r="E1" s="1" t="s">
        <v>8</v>
      </c>
      <c r="F1" s="1" t="s">
        <v>9</v>
      </c>
    </row>
    <row r="2" spans="1:6" x14ac:dyDescent="0.3">
      <c r="A2" s="8" t="s">
        <v>11</v>
      </c>
      <c r="B2" s="22" t="s">
        <v>0</v>
      </c>
      <c r="C2" s="22"/>
      <c r="D2" s="22"/>
      <c r="E2" s="22"/>
      <c r="F2" s="22"/>
    </row>
    <row r="3" spans="1:6" x14ac:dyDescent="0.3">
      <c r="A3" s="6" t="s">
        <v>18</v>
      </c>
      <c r="B3" s="9" t="s">
        <v>13</v>
      </c>
      <c r="C3" s="9" t="s">
        <v>14</v>
      </c>
      <c r="D3" s="9">
        <v>1</v>
      </c>
      <c r="E3" s="9">
        <v>465000</v>
      </c>
      <c r="F3" s="14">
        <f t="shared" ref="F3:F8" si="0">D3*E3</f>
        <v>465000</v>
      </c>
    </row>
    <row r="4" spans="1:6" x14ac:dyDescent="0.3">
      <c r="A4" s="6" t="s">
        <v>19</v>
      </c>
      <c r="B4" s="5" t="s">
        <v>15</v>
      </c>
      <c r="C4" s="5" t="s">
        <v>16</v>
      </c>
      <c r="D4" s="5">
        <v>0</v>
      </c>
      <c r="E4" s="5">
        <v>4375</v>
      </c>
      <c r="F4" s="5">
        <f t="shared" si="0"/>
        <v>0</v>
      </c>
    </row>
    <row r="5" spans="1:6" x14ac:dyDescent="0.3">
      <c r="A5" s="6" t="s">
        <v>23</v>
      </c>
      <c r="B5" s="5" t="s">
        <v>17</v>
      </c>
      <c r="C5" s="5" t="s">
        <v>16</v>
      </c>
      <c r="D5" s="5"/>
      <c r="E5" s="5">
        <v>5165</v>
      </c>
      <c r="F5" s="5">
        <f>D5*E5</f>
        <v>0</v>
      </c>
    </row>
    <row r="6" spans="1:6" ht="28.8" x14ac:dyDescent="0.3">
      <c r="A6" s="6" t="s">
        <v>22</v>
      </c>
      <c r="B6" s="7" t="s">
        <v>20</v>
      </c>
      <c r="C6" s="5" t="s">
        <v>16</v>
      </c>
      <c r="D6" s="5"/>
      <c r="E6" s="5">
        <v>3165</v>
      </c>
      <c r="F6" s="5">
        <f t="shared" si="0"/>
        <v>0</v>
      </c>
    </row>
    <row r="7" spans="1:6" ht="28.8" x14ac:dyDescent="0.3">
      <c r="A7" s="11" t="s">
        <v>24</v>
      </c>
      <c r="B7" s="12" t="s">
        <v>21</v>
      </c>
      <c r="C7" s="13" t="s">
        <v>16</v>
      </c>
      <c r="D7" s="13"/>
      <c r="E7" s="13">
        <v>7835</v>
      </c>
      <c r="F7" s="13">
        <f t="shared" si="0"/>
        <v>0</v>
      </c>
    </row>
    <row r="8" spans="1:6" x14ac:dyDescent="0.3">
      <c r="A8" s="6" t="s">
        <v>32</v>
      </c>
      <c r="B8" s="7" t="s">
        <v>30</v>
      </c>
      <c r="C8" s="5" t="s">
        <v>31</v>
      </c>
      <c r="D8" s="5"/>
      <c r="E8" s="5">
        <v>1250</v>
      </c>
      <c r="F8" s="5">
        <f t="shared" si="0"/>
        <v>0</v>
      </c>
    </row>
    <row r="9" spans="1:6" x14ac:dyDescent="0.3">
      <c r="A9" s="19" t="s">
        <v>28</v>
      </c>
      <c r="B9" s="19"/>
      <c r="C9" s="19"/>
      <c r="D9" s="19"/>
      <c r="E9" s="19"/>
      <c r="F9" s="5">
        <f>SUM(F3:F8)</f>
        <v>465000</v>
      </c>
    </row>
    <row r="10" spans="1:6" x14ac:dyDescent="0.3">
      <c r="A10" s="3" t="s">
        <v>29</v>
      </c>
      <c r="B10" s="21" t="s">
        <v>1</v>
      </c>
      <c r="C10" s="21"/>
      <c r="D10" s="21"/>
      <c r="E10" s="21"/>
      <c r="F10" s="21"/>
    </row>
    <row r="11" spans="1:6" x14ac:dyDescent="0.3">
      <c r="A11" s="6" t="s">
        <v>34</v>
      </c>
      <c r="B11" s="7" t="s">
        <v>33</v>
      </c>
      <c r="C11" s="5" t="s">
        <v>16</v>
      </c>
      <c r="D11" s="5"/>
      <c r="E11" s="5">
        <v>61665</v>
      </c>
      <c r="F11" s="5">
        <f t="shared" ref="F11:F17" si="1">D11*E11</f>
        <v>0</v>
      </c>
    </row>
    <row r="12" spans="1:6" x14ac:dyDescent="0.3">
      <c r="A12" s="6" t="s">
        <v>36</v>
      </c>
      <c r="B12" s="7" t="s">
        <v>35</v>
      </c>
      <c r="C12" s="5" t="s">
        <v>16</v>
      </c>
      <c r="D12" s="5"/>
      <c r="E12" s="5">
        <v>175000</v>
      </c>
      <c r="F12" s="5">
        <f t="shared" si="1"/>
        <v>0</v>
      </c>
    </row>
    <row r="13" spans="1:6" x14ac:dyDescent="0.3">
      <c r="A13" s="6" t="s">
        <v>38</v>
      </c>
      <c r="B13" s="7" t="s">
        <v>37</v>
      </c>
      <c r="C13" s="5" t="s">
        <v>16</v>
      </c>
      <c r="D13" s="5"/>
      <c r="E13" s="5">
        <v>180000</v>
      </c>
      <c r="F13" s="5">
        <f t="shared" si="1"/>
        <v>0</v>
      </c>
    </row>
    <row r="14" spans="1:6" x14ac:dyDescent="0.3">
      <c r="A14" s="6" t="s">
        <v>40</v>
      </c>
      <c r="B14" s="7" t="s">
        <v>39</v>
      </c>
      <c r="C14" s="5" t="s">
        <v>31</v>
      </c>
      <c r="D14" s="5"/>
      <c r="E14" s="5">
        <v>40000</v>
      </c>
      <c r="F14" s="5">
        <f t="shared" si="1"/>
        <v>0</v>
      </c>
    </row>
    <row r="15" spans="1:6" x14ac:dyDescent="0.3">
      <c r="A15" s="6" t="s">
        <v>43</v>
      </c>
      <c r="B15" s="7" t="s">
        <v>41</v>
      </c>
      <c r="C15" s="5" t="s">
        <v>42</v>
      </c>
      <c r="D15" s="5"/>
      <c r="E15" s="5">
        <v>1250000</v>
      </c>
      <c r="F15" s="5">
        <f t="shared" si="1"/>
        <v>0</v>
      </c>
    </row>
    <row r="16" spans="1:6" ht="43.2" x14ac:dyDescent="0.3">
      <c r="A16" s="6" t="s">
        <v>45</v>
      </c>
      <c r="B16" s="7" t="s">
        <v>44</v>
      </c>
      <c r="C16" s="5" t="s">
        <v>16</v>
      </c>
      <c r="D16" s="5"/>
      <c r="E16" s="5">
        <v>113335</v>
      </c>
      <c r="F16" s="5">
        <f t="shared" si="1"/>
        <v>0</v>
      </c>
    </row>
    <row r="17" spans="1:6" x14ac:dyDescent="0.3">
      <c r="A17" s="6" t="s">
        <v>47</v>
      </c>
      <c r="B17" s="7" t="s">
        <v>46</v>
      </c>
      <c r="C17" s="5" t="s">
        <v>31</v>
      </c>
      <c r="D17" s="5"/>
      <c r="E17" s="5">
        <v>13000</v>
      </c>
      <c r="F17" s="5">
        <f t="shared" si="1"/>
        <v>0</v>
      </c>
    </row>
    <row r="18" spans="1:6" x14ac:dyDescent="0.3">
      <c r="A18" s="19" t="s">
        <v>48</v>
      </c>
      <c r="B18" s="19"/>
      <c r="C18" s="19"/>
      <c r="D18" s="19"/>
      <c r="E18" s="19"/>
      <c r="F18" s="5">
        <f>SUM(F11:F17)</f>
        <v>0</v>
      </c>
    </row>
    <row r="19" spans="1:6" x14ac:dyDescent="0.3">
      <c r="A19" s="3" t="s">
        <v>49</v>
      </c>
      <c r="B19" s="21" t="s">
        <v>2</v>
      </c>
      <c r="C19" s="21"/>
      <c r="D19" s="21"/>
      <c r="E19" s="21"/>
      <c r="F19" s="21"/>
    </row>
    <row r="20" spans="1:6" ht="28.8" x14ac:dyDescent="0.3">
      <c r="A20" s="6" t="s">
        <v>51</v>
      </c>
      <c r="B20" s="7" t="s">
        <v>50</v>
      </c>
      <c r="C20" s="5" t="s">
        <v>42</v>
      </c>
      <c r="D20" s="5"/>
      <c r="E20" s="5">
        <v>226665</v>
      </c>
      <c r="F20" s="5">
        <f>D20*E20</f>
        <v>0</v>
      </c>
    </row>
    <row r="21" spans="1:6" ht="28.8" x14ac:dyDescent="0.3">
      <c r="A21" s="6" t="s">
        <v>53</v>
      </c>
      <c r="B21" s="7" t="s">
        <v>52</v>
      </c>
      <c r="C21" s="5" t="s">
        <v>42</v>
      </c>
      <c r="D21" s="5"/>
      <c r="E21" s="5">
        <v>126665</v>
      </c>
      <c r="F21" s="5">
        <f>D21*E21</f>
        <v>0</v>
      </c>
    </row>
    <row r="22" spans="1:6" ht="28.8" x14ac:dyDescent="0.3">
      <c r="A22" s="6" t="s">
        <v>55</v>
      </c>
      <c r="B22" s="7" t="s">
        <v>54</v>
      </c>
      <c r="C22" s="5" t="s">
        <v>42</v>
      </c>
      <c r="D22" s="5"/>
      <c r="E22" s="5">
        <v>180000</v>
      </c>
      <c r="F22" s="5">
        <f>D22*E22</f>
        <v>0</v>
      </c>
    </row>
    <row r="23" spans="1:6" ht="28.8" x14ac:dyDescent="0.3">
      <c r="A23" s="6" t="s">
        <v>57</v>
      </c>
      <c r="B23" s="7" t="s">
        <v>56</v>
      </c>
      <c r="C23" s="5" t="s">
        <v>42</v>
      </c>
      <c r="D23" s="5"/>
      <c r="E23" s="5">
        <v>90000</v>
      </c>
      <c r="F23" s="5">
        <f>D23*E23</f>
        <v>0</v>
      </c>
    </row>
    <row r="24" spans="1:6" x14ac:dyDescent="0.3">
      <c r="A24" s="19" t="s">
        <v>58</v>
      </c>
      <c r="B24" s="19"/>
      <c r="C24" s="19"/>
      <c r="D24" s="19"/>
      <c r="E24" s="19"/>
      <c r="F24" s="5">
        <f>SUM(F20:F23)</f>
        <v>0</v>
      </c>
    </row>
    <row r="25" spans="1:6" x14ac:dyDescent="0.3">
      <c r="A25" s="3" t="s">
        <v>59</v>
      </c>
      <c r="B25" s="21" t="s">
        <v>3</v>
      </c>
      <c r="C25" s="21"/>
      <c r="D25" s="21"/>
      <c r="E25" s="21"/>
      <c r="F25" s="21"/>
    </row>
    <row r="26" spans="1:6" ht="28.8" x14ac:dyDescent="0.3">
      <c r="A26" s="6" t="s">
        <v>62</v>
      </c>
      <c r="B26" s="7" t="s">
        <v>60</v>
      </c>
      <c r="C26" s="5" t="s">
        <v>61</v>
      </c>
      <c r="D26" s="5"/>
      <c r="E26" s="5">
        <v>4335</v>
      </c>
      <c r="F26" s="5">
        <f>D26*E26</f>
        <v>0</v>
      </c>
    </row>
    <row r="27" spans="1:6" x14ac:dyDescent="0.3">
      <c r="A27" s="19" t="s">
        <v>65</v>
      </c>
      <c r="B27" s="19"/>
      <c r="C27" s="19"/>
      <c r="D27" s="19"/>
      <c r="E27" s="19"/>
      <c r="F27" s="5">
        <f>SUM(F26:F26)</f>
        <v>0</v>
      </c>
    </row>
    <row r="29" spans="1:6" x14ac:dyDescent="0.3">
      <c r="A29" s="20" t="s">
        <v>63</v>
      </c>
      <c r="B29" s="20"/>
      <c r="C29" s="20"/>
      <c r="D29" s="20"/>
      <c r="E29" s="20"/>
      <c r="F29" s="20"/>
    </row>
    <row r="30" spans="1:6" x14ac:dyDescent="0.3">
      <c r="A30" s="4" t="s">
        <v>11</v>
      </c>
      <c r="B30" s="17" t="str">
        <f>VLOOKUP(A30,$A2:F27,2,FALSE)</f>
        <v>TERRASSEMENT</v>
      </c>
      <c r="C30" s="17"/>
      <c r="D30" s="17"/>
      <c r="E30" s="17"/>
      <c r="F30" s="4">
        <f>VLOOKUP("TOTAL "&amp;A30,$A2:F27,6,FALSE)</f>
        <v>465000</v>
      </c>
    </row>
    <row r="31" spans="1:6" x14ac:dyDescent="0.3">
      <c r="A31" s="4" t="s">
        <v>29</v>
      </c>
      <c r="B31" s="17" t="str">
        <f>VLOOKUP(A31,$A2:F27,2,FALSE)</f>
        <v>INFRASTRUCTURE</v>
      </c>
      <c r="C31" s="17"/>
      <c r="D31" s="17"/>
      <c r="E31" s="17"/>
      <c r="F31" s="4">
        <f>VLOOKUP("TOTAL "&amp;A31,$A2:F27,6,FALSE)</f>
        <v>0</v>
      </c>
    </row>
    <row r="32" spans="1:6" x14ac:dyDescent="0.3">
      <c r="A32" s="4" t="s">
        <v>49</v>
      </c>
      <c r="B32" s="17" t="str">
        <f>VLOOKUP(A32,$A2:F27,2,FALSE)</f>
        <v>MENUISERIE</v>
      </c>
      <c r="C32" s="17"/>
      <c r="D32" s="17"/>
      <c r="E32" s="17"/>
      <c r="F32" s="4">
        <f>VLOOKUP("TOTAL "&amp;A32,$A2:F27,6,FALSE)</f>
        <v>0</v>
      </c>
    </row>
    <row r="33" spans="1:6" x14ac:dyDescent="0.3">
      <c r="A33" s="4" t="s">
        <v>59</v>
      </c>
      <c r="B33" s="17" t="str">
        <f>VLOOKUP(A33,$A2:F27,2,FALSE)</f>
        <v>PLOMBERIE</v>
      </c>
      <c r="C33" s="17"/>
      <c r="D33" s="17"/>
      <c r="E33" s="17"/>
      <c r="F33" s="4">
        <f>VLOOKUP("TOTAL "&amp;A33,$A2:F27,6,FALSE)</f>
        <v>0</v>
      </c>
    </row>
    <row r="34" spans="1:6" x14ac:dyDescent="0.3">
      <c r="A34" s="18" t="s">
        <v>64</v>
      </c>
      <c r="B34" s="18"/>
      <c r="C34" s="18"/>
      <c r="D34" s="18"/>
      <c r="E34" s="18"/>
      <c r="F34" s="15">
        <f>SUM(F30:F33)</f>
        <v>465000</v>
      </c>
    </row>
  </sheetData>
  <mergeCells count="14">
    <mergeCell ref="B25:F25"/>
    <mergeCell ref="A24:E24"/>
    <mergeCell ref="B2:F2"/>
    <mergeCell ref="A9:E9"/>
    <mergeCell ref="B10:F10"/>
    <mergeCell ref="A18:E18"/>
    <mergeCell ref="B19:F19"/>
    <mergeCell ref="B33:E33"/>
    <mergeCell ref="A34:E34"/>
    <mergeCell ref="A27:E27"/>
    <mergeCell ref="A29:F29"/>
    <mergeCell ref="B30:E30"/>
    <mergeCell ref="B31:E31"/>
    <mergeCell ref="B32:E32"/>
  </mergeCells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A4A7-577A-4FEE-BC53-1C949CF395FB}">
  <sheetPr codeName="Feuil4"/>
  <dimension ref="A2:F10"/>
  <sheetViews>
    <sheetView tabSelected="1" workbookViewId="0">
      <selection activeCell="F18" sqref="F18"/>
    </sheetView>
  </sheetViews>
  <sheetFormatPr baseColWidth="10" defaultRowHeight="14.4" x14ac:dyDescent="0.3"/>
  <cols>
    <col min="1" max="1" width="4.33203125" customWidth="1"/>
    <col min="2" max="2" width="29.33203125" customWidth="1"/>
    <col min="10" max="10" width="17.33203125" customWidth="1"/>
  </cols>
  <sheetData>
    <row r="2" spans="1:6" x14ac:dyDescent="0.3">
      <c r="A2" s="3" t="s">
        <v>11</v>
      </c>
      <c r="B2" s="21" t="s">
        <v>0</v>
      </c>
      <c r="C2" s="21"/>
      <c r="D2" s="21"/>
      <c r="E2" s="21"/>
      <c r="F2" s="21"/>
    </row>
    <row r="3" spans="1:6" x14ac:dyDescent="0.3">
      <c r="A3" s="3" t="s">
        <v>29</v>
      </c>
      <c r="B3" s="21" t="s">
        <v>1</v>
      </c>
      <c r="C3" s="21"/>
      <c r="D3" s="21"/>
      <c r="E3" s="21"/>
      <c r="F3" s="21"/>
    </row>
    <row r="4" spans="1:6" x14ac:dyDescent="0.3">
      <c r="A4" s="19" t="s">
        <v>48</v>
      </c>
      <c r="B4" s="19"/>
      <c r="C4" s="19"/>
      <c r="D4" s="19"/>
      <c r="E4" s="19"/>
      <c r="F4" s="5">
        <v>0</v>
      </c>
    </row>
    <row r="6" spans="1:6" x14ac:dyDescent="0.3">
      <c r="A6" s="20" t="s">
        <v>63</v>
      </c>
      <c r="B6" s="20"/>
      <c r="C6" s="20"/>
      <c r="D6" s="20"/>
      <c r="E6" s="20"/>
      <c r="F6" s="20"/>
    </row>
    <row r="7" spans="1:6" x14ac:dyDescent="0.3">
      <c r="A7" s="4" t="s">
        <v>11</v>
      </c>
      <c r="B7" s="17" t="str">
        <f>VLOOKUP(A7,$A2:F4,2,FALSE)</f>
        <v>TERRASSEMENT</v>
      </c>
      <c r="C7" s="17"/>
      <c r="D7" s="17"/>
      <c r="E7" s="17"/>
      <c r="F7" s="4" t="e">
        <f>VLOOKUP("TOTAL "&amp;A7,$A2:F4,6,FALSE)</f>
        <v>#N/A</v>
      </c>
    </row>
    <row r="8" spans="1:6" x14ac:dyDescent="0.3">
      <c r="A8" s="4" t="s">
        <v>29</v>
      </c>
      <c r="B8" s="17" t="str">
        <f>VLOOKUP(A8,$A2:F4,2,FALSE)</f>
        <v>INFRASTRUCTURE</v>
      </c>
      <c r="C8" s="17"/>
      <c r="D8" s="17"/>
      <c r="E8" s="17"/>
      <c r="F8" s="4">
        <f>VLOOKUP("TOTAL "&amp;A8,$A2:F4,6,FALSE)</f>
        <v>0</v>
      </c>
    </row>
    <row r="9" spans="1:6" x14ac:dyDescent="0.3">
      <c r="A9" s="18" t="s">
        <v>64</v>
      </c>
      <c r="B9" s="18"/>
      <c r="C9" s="18"/>
      <c r="D9" s="18"/>
      <c r="E9" s="18"/>
      <c r="F9" s="15" t="e">
        <f>SUM(F7:F8)</f>
        <v>#N/A</v>
      </c>
    </row>
    <row r="10" spans="1:6" x14ac:dyDescent="0.3">
      <c r="B10" t="s">
        <v>66</v>
      </c>
    </row>
  </sheetData>
  <mergeCells count="7">
    <mergeCell ref="A9:E9"/>
    <mergeCell ref="B2:F2"/>
    <mergeCell ref="B3:F3"/>
    <mergeCell ref="A4:E4"/>
    <mergeCell ref="A6:F6"/>
    <mergeCell ref="B7:E7"/>
    <mergeCell ref="B8:E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C92E7-0B2F-4B06-959D-AF34377A5C9D}">
  <sheetPr codeName="Feuil5"/>
  <dimension ref="A1:F11"/>
  <sheetViews>
    <sheetView workbookViewId="0">
      <selection activeCell="A9" sqref="A9:XFD9"/>
    </sheetView>
  </sheetViews>
  <sheetFormatPr baseColWidth="10" defaultRowHeight="14.4" x14ac:dyDescent="0.3"/>
  <cols>
    <col min="1" max="1" width="5.88671875" customWidth="1"/>
    <col min="2" max="2" width="53.44140625" customWidth="1"/>
  </cols>
  <sheetData>
    <row r="1" spans="1:6" x14ac:dyDescent="0.3">
      <c r="A1" s="3" t="s">
        <v>11</v>
      </c>
      <c r="B1" s="21" t="s">
        <v>0</v>
      </c>
      <c r="C1" s="21"/>
      <c r="D1" s="21"/>
      <c r="E1" s="21"/>
      <c r="F1" s="21"/>
    </row>
    <row r="2" spans="1:6" x14ac:dyDescent="0.3">
      <c r="A2" s="6" t="s">
        <v>18</v>
      </c>
      <c r="B2" s="5" t="s">
        <v>67</v>
      </c>
      <c r="C2" s="5" t="s">
        <v>31</v>
      </c>
      <c r="D2" s="5">
        <v>300</v>
      </c>
      <c r="E2" s="5">
        <v>3835</v>
      </c>
      <c r="F2" s="5">
        <f>D2*E2</f>
        <v>1150500</v>
      </c>
    </row>
    <row r="3" spans="1:6" x14ac:dyDescent="0.3">
      <c r="A3" s="6" t="s">
        <v>19</v>
      </c>
      <c r="B3" s="5" t="s">
        <v>15</v>
      </c>
      <c r="C3" s="5" t="s">
        <v>16</v>
      </c>
      <c r="D3" s="5">
        <v>50</v>
      </c>
      <c r="E3" s="5">
        <v>4750</v>
      </c>
      <c r="F3" s="5">
        <f>D3*E3</f>
        <v>237500</v>
      </c>
    </row>
    <row r="4" spans="1:6" x14ac:dyDescent="0.3">
      <c r="A4" s="6" t="s">
        <v>23</v>
      </c>
      <c r="B4" s="5" t="s">
        <v>17</v>
      </c>
      <c r="C4" s="5" t="s">
        <v>16</v>
      </c>
      <c r="D4" s="5">
        <v>20</v>
      </c>
      <c r="E4" s="5">
        <v>5665</v>
      </c>
      <c r="F4" s="5">
        <f>D4*E4</f>
        <v>113300</v>
      </c>
    </row>
    <row r="5" spans="1:6" x14ac:dyDescent="0.3">
      <c r="A5" s="19" t="s">
        <v>28</v>
      </c>
      <c r="B5" s="19"/>
      <c r="C5" s="19"/>
      <c r="D5" s="19"/>
      <c r="E5" s="19"/>
      <c r="F5" s="5">
        <f>SUM(F2:F4)</f>
        <v>1501300</v>
      </c>
    </row>
    <row r="7" spans="1:6" x14ac:dyDescent="0.3">
      <c r="A7" s="6" t="s">
        <v>32</v>
      </c>
      <c r="B7" s="5" t="s">
        <v>17</v>
      </c>
      <c r="C7" s="5" t="s">
        <v>16</v>
      </c>
      <c r="D7" s="5"/>
      <c r="E7" s="5">
        <v>5165</v>
      </c>
      <c r="F7" s="5">
        <f>D7*E7</f>
        <v>0</v>
      </c>
    </row>
    <row r="8" spans="1:6" x14ac:dyDescent="0.3">
      <c r="A8" s="19" t="s">
        <v>28</v>
      </c>
      <c r="B8" s="19"/>
      <c r="C8" s="19"/>
      <c r="D8" s="19"/>
      <c r="E8" s="19"/>
      <c r="F8" s="5">
        <f>SUM(F2:F7)</f>
        <v>3002600</v>
      </c>
    </row>
    <row r="10" spans="1:6" x14ac:dyDescent="0.3">
      <c r="A10" s="23" t="s">
        <v>63</v>
      </c>
      <c r="B10" s="23"/>
      <c r="C10" s="23"/>
      <c r="D10" s="23"/>
      <c r="E10" s="23"/>
      <c r="F10" s="23"/>
    </row>
    <row r="11" spans="1:6" x14ac:dyDescent="0.3">
      <c r="A11" s="24" t="s">
        <v>64</v>
      </c>
      <c r="B11" s="24"/>
      <c r="C11" s="24"/>
      <c r="D11" s="24"/>
      <c r="E11" s="24"/>
      <c r="F11" s="25">
        <f ca="1">SUM(F10:F11)</f>
        <v>0</v>
      </c>
    </row>
  </sheetData>
  <mergeCells count="5">
    <mergeCell ref="B1:F1"/>
    <mergeCell ref="A5:E5"/>
    <mergeCell ref="A8:E8"/>
    <mergeCell ref="A10:F10"/>
    <mergeCell ref="A11:E1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B369E-7490-4FF6-97F5-750DF0937D17}">
  <sheetPr codeName="Feuil1"/>
  <dimension ref="A1:F6"/>
  <sheetViews>
    <sheetView workbookViewId="0">
      <selection activeCell="B7" sqref="B7"/>
    </sheetView>
  </sheetViews>
  <sheetFormatPr baseColWidth="10" defaultRowHeight="14.4" x14ac:dyDescent="0.3"/>
  <cols>
    <col min="1" max="1" width="4.5546875" customWidth="1"/>
    <col min="2" max="2" width="47.88671875" customWidth="1"/>
  </cols>
  <sheetData>
    <row r="1" spans="1:6" x14ac:dyDescent="0.3">
      <c r="A1" s="3" t="s">
        <v>11</v>
      </c>
      <c r="B1" s="21" t="s">
        <v>0</v>
      </c>
      <c r="C1" s="21"/>
      <c r="D1" s="21"/>
      <c r="E1" s="21"/>
      <c r="F1" s="21"/>
    </row>
    <row r="2" spans="1:6" x14ac:dyDescent="0.3">
      <c r="A2" s="6" t="s">
        <v>18</v>
      </c>
      <c r="B2" s="5" t="s">
        <v>67</v>
      </c>
      <c r="C2" s="5" t="s">
        <v>31</v>
      </c>
      <c r="D2" s="5"/>
      <c r="E2" s="5">
        <v>3835</v>
      </c>
      <c r="F2" s="5">
        <f>D2*E2</f>
        <v>0</v>
      </c>
    </row>
    <row r="3" spans="1:6" x14ac:dyDescent="0.3">
      <c r="A3" s="6" t="s">
        <v>19</v>
      </c>
      <c r="B3" s="5" t="s">
        <v>15</v>
      </c>
      <c r="C3" s="5" t="s">
        <v>16</v>
      </c>
      <c r="D3" s="5"/>
      <c r="E3" s="5">
        <v>5000</v>
      </c>
      <c r="F3" s="5">
        <f>D3*E3</f>
        <v>0</v>
      </c>
    </row>
    <row r="4" spans="1:6" x14ac:dyDescent="0.3">
      <c r="A4" s="19" t="s">
        <v>28</v>
      </c>
      <c r="B4" s="19"/>
      <c r="C4" s="19"/>
      <c r="D4" s="19"/>
      <c r="E4" s="19"/>
      <c r="F4" s="5">
        <f>SUM(F2:F3)</f>
        <v>0</v>
      </c>
    </row>
    <row r="5" spans="1:6" x14ac:dyDescent="0.3">
      <c r="A5" s="6" t="s">
        <v>22</v>
      </c>
      <c r="B5" s="5" t="s">
        <v>69</v>
      </c>
      <c r="C5" s="5" t="s">
        <v>70</v>
      </c>
      <c r="D5" s="5"/>
      <c r="E5" s="5">
        <v>5665</v>
      </c>
      <c r="F5" s="5">
        <f>D5*E5</f>
        <v>0</v>
      </c>
    </row>
    <row r="6" spans="1:6" x14ac:dyDescent="0.3">
      <c r="B6" s="16" t="s">
        <v>68</v>
      </c>
    </row>
  </sheetData>
  <mergeCells count="2">
    <mergeCell ref="B1:F1"/>
    <mergeCell ref="A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Couleur</vt:lpstr>
      <vt:lpstr>Tableau</vt:lpstr>
      <vt:lpstr>Feuil1</vt:lpstr>
      <vt:lpstr>Feuil3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Mohamed SANOU</dc:creator>
  <cp:lastModifiedBy>Mohamed SANOU</cp:lastModifiedBy>
  <dcterms:created xsi:type="dcterms:W3CDTF">2025-08-07T07:10:50Z</dcterms:created>
  <dcterms:modified xsi:type="dcterms:W3CDTF">2025-08-19T23:32:25Z</dcterms:modified>
</cp:coreProperties>
</file>